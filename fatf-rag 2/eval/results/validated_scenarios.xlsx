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arub\Documents\GitHub\LLM_implementation\fatf-rag 2\eval\results\"/>
    </mc:Choice>
  </mc:AlternateContent>
  <xr:revisionPtr revIDLastSave="0" documentId="8_{DD0C0DE9-B52C-4764-85D2-2C92A5732925}" xr6:coauthVersionLast="47" xr6:coauthVersionMax="47" xr10:uidLastSave="{00000000-0000-0000-0000-000000000000}"/>
  <bookViews>
    <workbookView xWindow="-108" yWindow="-108" windowWidth="23256" windowHeight="12456" xr2:uid="{7AF51553-D8D0-41B0-A3B1-668F2E29EA98}"/>
  </bookViews>
  <sheets>
    <sheet name="scenarios_review" sheetId="2" r:id="rId1"/>
    <sheet name="Hoja1" sheetId="3" r:id="rId2"/>
  </sheets>
  <definedNames>
    <definedName name="DatosExternos_1" localSheetId="0" hidden="1">scenarios_review!$A$1:$I$73</definedName>
  </definedNames>
  <calcPr calcId="0"/>
</workbook>
</file>

<file path=xl/calcChain.xml><?xml version="1.0" encoding="utf-8"?>
<calcChain xmlns="http://schemas.openxmlformats.org/spreadsheetml/2006/main">
  <c r="F5" i="3" l="1"/>
  <c r="F6" i="3"/>
  <c r="F7" i="3"/>
  <c r="F8" i="3"/>
  <c r="F9" i="3"/>
  <c r="F10" i="3"/>
  <c r="F11" i="3"/>
  <c r="F12" i="3"/>
  <c r="F4" i="3"/>
  <c r="E5" i="3"/>
  <c r="E6" i="3"/>
  <c r="E7" i="3"/>
  <c r="E8" i="3"/>
  <c r="E9" i="3"/>
  <c r="E10" i="3"/>
  <c r="E11" i="3"/>
  <c r="E12" i="3"/>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52242A-E56F-42C4-83BF-056A9E9320E3}" keepAlive="1" name="Consulta - scenarios_review" description="Conexión a la consulta 'scenarios_review' en el libro." type="5" refreshedVersion="8" background="1" saveData="1">
    <dbPr connection="Provider=Microsoft.Mashup.OleDb.1;Data Source=$Workbook$;Location=scenarios_review;Extended Properties=&quot;&quot;" command="SELECT * FROM [scenarios_review]"/>
  </connection>
</connections>
</file>

<file path=xl/sharedStrings.xml><?xml version="1.0" encoding="utf-8"?>
<sst xmlns="http://schemas.openxmlformats.org/spreadsheetml/2006/main" count="394" uniqueCount="70">
  <si>
    <t>scenario</t>
  </si>
  <si>
    <t>chunking</t>
  </si>
  <si>
    <t>model</t>
  </si>
  <si>
    <t>question</t>
  </si>
  <si>
    <t>expected</t>
  </si>
  <si>
    <t>generated</t>
  </si>
  <si>
    <t>match_auto</t>
  </si>
  <si>
    <t>gen_time_s</t>
  </si>
  <si>
    <t>match_manual</t>
  </si>
  <si>
    <t>page</t>
  </si>
  <si>
    <t>gpt2</t>
  </si>
  <si>
    <t>What is the Financial Action Task Force?</t>
  </si>
  <si>
    <t>an inter-governmental body</t>
  </si>
  <si>
    <t>The Task Force is a group of individuals working together to protect the global financial system against money laundering, terrorist financing, and the financing of proliferation of weapons of mass destruction. The Task Force is responsible for protecting the financial system against money laundering, terrorist financing, and the financing of proliferation of weapons of mass destruction. For more information about the Task Force, please visit: www.fatf-gafi.org No reproduction or translation of this publication may be made without prior written permission. Applications for such permission, for all or part of this publication, should be made to the FATF Secretariat, 2 rue André Pascal 75775 Paris Cedex 16, France(fax: +33 1 44 30 61 37 or e-mail: contact@fatf-gafi.org). [[Front matter, p.11]] THE FATF RECOMMENDATIONS INTERNA Question: What is</t>
  </si>
  <si>
    <t/>
  </si>
  <si>
    <t>What is FATF?</t>
  </si>
  <si>
    <t>the Financial Action Task Force</t>
  </si>
  <si>
    <t>The FATF is the international body responsible for the protection and promotion of the financial and financial sector and organisations. The FATF is responsible for ensuring that financial and financial institutions are not subject to money laundering, terrorist financing, and other financial activities and that they are properly regulated. In the United States, the FATF is a non-governmental body which is responsible for the enforcement of the Financial and Financial Institutions Act of the United States of America (federal law). The FATF is a non-profit organisation which provides assistance to international financial institutions on a voluntary basis. It has a mandate to: [1] Ensure that financial institutions are not subject to money laundering, terrorist financing, and other financial activities and that they are properly regulated. [2] Ensure that financial institutions are subject to the following financial activities: [i] Provide financial institutions with the information required by law to establish their</t>
  </si>
  <si>
    <t>What does AML/CFT mean?</t>
  </si>
  <si>
    <t>anti-money laundering and countering the financing of terrorism</t>
  </si>
  <si>
    <t>The term 'AML/CFT' is used to refer to the AML/CFT rules promulgated by the Financial Stability Board of the United States in the Federal Reserve System and committed by Federal Reserve Banks. The term 'AML/CFT' is used to refer to the AML/CFT rules issued by the Federal Reserve Banks. The term 'AML/CFT' is used to refer to the AML/CFT rules promulgated by the Federal Reserve Banks. (d) Financial supervisors who are engaged in the same or similar particular business activities as other supervisors and who are engaged in the same or similar business activities as any other supervisors in the same group. (e) Financial supervisors who are engaged in the same or similar particular business activities as other supervisors, and who are engaged in the same or similar business activities as any other supervisor in the same group. (f)</t>
  </si>
  <si>
    <t>When were the recommendations first drafted?</t>
  </si>
  <si>
    <t>1996</t>
  </si>
  <si>
    <t>The recommendations were drafted in response to the International Monetary Fund's (IMF) Fiscal Responsibility and Growth (Fiscal Responsibility and Growth) Research and Development (Fiscal Responsibility and Growth) Committee's (Fiscal Responsibility and Growth) Recommendations. 3. How can a government (government-sponsored) implement the recommendations? The recommendations were drafted by the Commission on the Implementation of the Recommendation, [the Committee on the Implementation of the Recommendation, or CIMROP], on behalf of the National Governors Association, [the National Governors Association, or NGA], and on behalf of the Federal Reserve Bank of Atlanta.  2012 OECD/FA Question: When did the recommendation for the IMF's Fiscal Responsibility and Growth (Fiscal Responsibility and Growth) Committee originate? Answer: The recommendation was drafted in response to a request from the Government Accountability Office (GAO) to assess the effectiveness of the IMF's Recommendation 10</t>
  </si>
  <si>
    <t>On which year were the recommendations last updated?</t>
  </si>
  <si>
    <t>2003</t>
  </si>
  <si>
    <t>The following items are updated on December 2, 2012: - The year of the adoption of the new guidelines for financial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 new guidelines for banking institutions. - The year of the adoption of the</t>
  </si>
  <si>
    <t>Why are Non-profit organisations included on the recommendations?</t>
  </si>
  <si>
    <t>they are particularly vulnerable to misuse</t>
  </si>
  <si>
    <t>The relevant NPOs are in accordance with the organisation's policy and guidelines. 7. The relevant NPOs are not included on the recommendation of the recommendation committee. 8. The relevant NPOs are not included on the recommendation of the recommendation committee. 9. The relevant NPOs are not included on the recommendation of the recommendation committee. 10. The relevant NPOs are not included on the recommendation of the recommendation committee. 11. The relevant NPOs are not included on the recommendation of the recommendation committee. 12. The relevant NPOs are not included on the recommendation of the recommendation committee. 13. The relevant NPOs are not included on the recommendation of the recommendation committee. 14. The relevant NPOs are not included on the recommendation of the recommendation committee. 15. The relevant N</t>
  </si>
  <si>
    <t>Why are the FATF recommendations being revised?</t>
  </si>
  <si>
    <t>to address new and emerging threats</t>
  </si>
  <si>
    <t>The FATF has been asked to update the FATF, to take action on new threats to the financial system, and to continue to respond to the public's concerns and concerns. For example, the FATF will continue to review the FATF's information about the financial system. However, the FATF has also been asked to revise its Recommendations. The FATF will continue to consider the potential for serious harm to the financial system through the unnecessary and excessive use of financial information. The FATF is committed to a high standard of information, and to transparency and accountability in the financial system. The FATF is committed to upholding the international conventions, as well as the international obligations to protect public trust in the financial system. The FATF has also taken steps to support the development of the FATF's international transparency and accountability programs, including the FATF's Transparency and Accountability in the Financial System (TACS</t>
  </si>
  <si>
    <t>Why should countries implement a risk-based approach?</t>
  </si>
  <si>
    <t>to target their resources more effectively</t>
  </si>
  <si>
    <t>Because there is a risk-based approach that is more effective and less costly. 2. The risk-based approach (RBA) is an effective way to combat money laundering and terrorist financing. In regarding the ability of financial institutions and designated non-financialbodies (DNFBPs) to deal with the risk of money laundering and terrorist financing, governments should consider the potential for the financial institutions and diversified non-financial entities to provide their services to government agencies, financial institutions, and designated non-financialbodies (DNFBPs). 3. The risk-based approach (RBA) is an effective way to combat money laundering and terrorist financing. In regarding the ability of financial institutions and designated non-financialbodies (DNFBPs) to deal with the risk of money laundering and terrorist financing, governments should consider the potential for the financial institutions and d</t>
  </si>
  <si>
    <t>paragraph no-overlap</t>
  </si>
  <si>
    <t>The FATF is the international body tasked with ensuring that international financial institutions and governments meet the international financial needs of their clients. The FATF is responsible for ensuring that financial institutions and governments meet their obligations under international financial law. The FATF is composed of representatives of 27 countries. The FATF's mandate is to: · provide a framework for the international financial system, and to encourage the development of financial institutions and governments to comply with the principles of global financial law and their obligations under international financial law · foster a framework for the development of the international financial system, and to encourage the development of the international financial system, and to foster a framework for the development of the international financial system, by: · promoting the development of the international financial system by: · providing financial institutions and governments with a clear and unambiguous mandate to comply with international financial law, and to develop the financial system · encouraging the development of the international financial system by:</t>
  </si>
  <si>
    <t>The FATF is the international body responsible for ensuring that international financial institutions and governments comply with the laws and regulations governing financial institutions. The FATF is an independent international body that supports international financial institutions and governments' ability to comply with international financial law and the standards of international financial institutions and governments. FATF provides a range of financial services to the world's financial system, including services such as: commercial banking, banking services, credit and insurance, insurance, real estate, real estate investment and real estate brokerage, real estate finance and financial services, commercial banking, real estate finance and financial services, financial services, consumer banking, consumer finance, consumer banking and consumer banking services. FATF is also a member of the UN General Assembly. [[Front matter, p.12]] THE FATF RECOMMENDATIONS INTERN Question: What is the FATF's role in financial reform? Answer: FATF's role in financial reform is to help to ensure that the</t>
  </si>
  <si>
    <t>The term "AML/CFT" is used to refer to the AML/CFT rules promulgated by the Federal Reserve System (Federal Reserve Bank of New York), as amended and adopted by the Federal Open Market Committee. The Federal Open Market Committee's AML/CFT rules (including those promulgated by the Federal Open Market Committee) are the best available means of ensuring that financial institutions comply with the AML/CFT rules. AML/CFT rules are intended to ensure that financial institutions do not violate any of the following conditions: (a) If the financial institution is a federally regulated financial institution, such as a financial institution that is subject to the AML/CFT rules, the financial institution must be treated as a federally regulated financial institution, including: (i) The financial institution is a bank holding company or an entity that is a member of a group of financial institutions that are subject to the AML/CFT rules, (ii)</t>
  </si>
  <si>
    <t>The recommendations were drafted in response to the International Monetary Fund's (IMF) recommendations for the best practice in the management of the financial sector. The recommendations were developed in response to recommendations made by the Commission of Inquiry into the financial services industry in its report on the Financial Services Sector. In October 2009, the Commission of Inquiry released its report on the financial services sector (FSO). The report recommended that the Financial Services Sector be subject to the Financial Stability Oversight Council (FSOC) supervision. The FSO is a body that is responsible for overseeing the financial services sector. The FSO is comprised of a number of independent bodies and is composed of three sub-committees that are composed of representatives of the financial services sector, the IMF, the Council of Europe, the IMF, and the Council of Economic and Social Affairs. In January 2010, the FSO met in Paris, to discuss the recommendations. The meeting was held in cooperation with the Council of Economic and Social Affairs</t>
  </si>
  <si>
    <t>The following year was the year in which the recommendations were published. 29 June 2016 30 June 2016 31 June 2016 32 June 2016 33 June 2016 34 June 2016 35 June 2016 36 June 2016 37 June 2016 38 June 2016 39 June 2016 40 June 2016 41 June 2016 42 June 2016 43 June 2016 44 June 2016 45 June 2016 46 June 2016 47 June 2016 48 June 2016 49 June 2016 50 June 2016 51 June 2016 52 June 2016 53 June 2016 54 June 2016 55 June 2016 56 June 2016 57 June 2016 58 June 2016 59 June 2016 60 June 2016 61 June 2016 62 June 2016 63 June 2016 64 June 2016 65 June 2016</t>
  </si>
  <si>
    <t>The relevant NPOs are in accordance with the relevant international law. The relevant law defines the legal requirement that a non-profit organisation is included on the list of NPOs. The relevant law also defines the requirements for NPOs to have a valid registration and reporting system. In this context, the relevant law also defines the criteria for NPOs to have a valid registration and reporting system. The relevant law also defines the criteria for NPOs to have a valid registration and reporting system. In addition, the relevant law defines the conditions under which NPOs may be considered for inclusion on the list of NPOs. In addition, the relevant law also defines the conditions under which NPOs may be considered for inclusion on the list of NPOs. The relevant law also defines the conditions under which NPOs may be considered for inclusion on the list of NPOs. The relevant law also defines the conditions under which NPO</t>
  </si>
  <si>
    <t>The FATF has been asked to update the FATF's Recommendations and Recommendations for the financial system. The FATF has been informed that the financial system is in crisis and that financial institutions are at risk. The FATF has recommended that the FATF adopt the following measures to reduce the risk of financial failure: Reduce the number of banks with a high risk of insolvency, and to encourage banks to lend more to the public sector; Increase the number of banks with a low risk of insolvency, and to encourage banks to lend more to the public sector; Increase the number of banks with a high risk of insolvency, and to encourage banks to lend more to the public sector; Remove the current requirement that banks be required to provide a risk management plan to their clients, and to make it clear that they will not do so unless they are required to provide a risk management plan. Question: How should the FATF's recommendations be implemented?</t>
  </si>
  <si>
    <t>The RBA is not intended to prevent terrorist financing or to deter investment or activity in terrorism-related activities. The RBA does not prohibit the use of an individual's personal identification number (PIN) to conduct a terrorist activity, but rather to protect the personal identity of those individuals from being used for terrorist activities. The RBA does not prohibit the use of a bank's personal identification number (PIN) to conduct a terrorist activity, but rather to protect the personal identity of those individuals from being used for terrorist activities. The RBA does not prohibit the use of an individual's personal identification number (PIN) to conduct a terrorist activity, but rather to protect the personal identity of those individuals from being used for terrorist activities. The RBA does not prohibit the use of an individual's personal identification number (PIN) to conduct a terrorist activity, but rather to protect the personal identity of those individuals from being used for terrorist activities. The RBA does not prohibit the use</t>
  </si>
  <si>
    <t>paragraph overlap=50</t>
  </si>
  <si>
    <t>flan-t5</t>
  </si>
  <si>
    <t>an independent inter-governmental body that develops and promotes policies to protect the global financial system against money laundering, terrorist financing and the financing of proliferation of weapons of mass destruction</t>
  </si>
  <si>
    <t>The Financial Action Task Force</t>
  </si>
  <si>
    <t>Financial supervisors should be able to exchange the following types of information when relevant for AML/CFT purposes</t>
  </si>
  <si>
    <t>2012</t>
  </si>
  <si>
    <t>d) Effective capacity to respond to international requests for information about an NPO of concern Consistent with Recommendations on international cooperation, countries should identify appropriate points of contact and procedures to respond to international requests for information regarding particular NPOs suspected of terrorist financing or other forms of terrorist support</t>
  </si>
  <si>
    <t>new information regarding emerging threats and vulnerabilities to the global financial system</t>
  </si>
  <si>
    <t>to combat money laundering and terrorist financing</t>
  </si>
  <si>
    <t>llama</t>
  </si>
  <si>
    <t>The Financial Action Task Force (FATF) is an independent inter-governmental body that develops and promotes policies to protect the global financial system against money laundering, terrorist financing, and the financing of proliferation of weapons of mass destruction. [Front matter, p.2]</t>
  </si>
  <si>
    <t>According to the context passages, there is no explicit definition of "AML/CFT" provided. However, based on the surrounding text, it appears that AML/CFT refers to Anti-Money Laundering/Combating the Financing of Terrorism and Proliferation. This interpretation can be inferred from the title of the document "[THE FATF RECOMMENDATIONS] INTERNATIONAL STANDARDS ON COMBATING MONEY LAUNDERING AND THE FINANCING OF TERRORISM &amp; PROLIFERATION" [p. 105].</t>
  </si>
  <si>
    <t>I couldn't find this information in the provided context passages.</t>
  </si>
  <si>
    <t>The FATF Recommendations were last updated in 2012. [Front matter, p.5]</t>
  </si>
  <si>
    <t>According to Recommendation 8, non-profit organisations (NPOs) are included in the Recommendations because they have been exploited by terrorists and terrorist organisations to raise and move funds, provide logistical support, encourage terrorist recruitment, or otherwise support terrorist organisations and operations. [58, p.56] The FATF notes that NPOs enjoy the public trust, have access to considerable sources of funds, and are often cash-intensive, making them vulnerable to abuse by terrorists. [58, p.56-57] The objective of Recommendation 8 is to ensure that NPOs are not misused by terrorist organisations, while also promoting transparency and confidence in the sector. [58, p.54] The inclusion of NPOs in the Recommendations aims to protect them from terrorist abuse and preserve their integrity, as well as to prevent the misuse of NPOs as conduits for terrorist financing. [58, p.56]</t>
  </si>
  <si>
    <t>According to Recommendation [9], the FATF Recommendations have been revised due to "new information regarding emerging threats and vulnerabilities to the global financial system".</t>
  </si>
  <si>
    <t>According to Recommendation 1, countries should identify, assess, and understand the money laundering and terrorist financing risks for the country, and take action to mitigate them effectively. This is because the risk-based approach (RBA) enables competent authorities, financial institutions, and designated non-financial businesses and professions (DNFBPs) to ensure that measures to prevent or mitigate money laundering and terrorist financing are commensurate with the risks identified. [Recommendation 1, p.13]</t>
  </si>
  <si>
    <t>According to Recommendation [1], p.107, AML/CFT stands for Anti-Money Laundering/Combating the Financing of Terrorism and Proliferation.</t>
  </si>
  <si>
    <t>The FATF Recommendations were first drafted in 2012. [Front matter, p.72]</t>
  </si>
  <si>
    <t>The FATF Recommendations were last updated in 2012, as stated on page 5 of the provided context passages.</t>
  </si>
  <si>
    <t>Non-profit organisations (NPOs) are included in the Recommendations because they can be exploited by terrorists to raise and move funds, provide logistical support, encourage terrorist recruitment, or otherwise support terrorist organisations and operations. [Recommendation 8, p. 1] According to Recommendation 8, NPOs may be vulnerable to abuse by terrorists due to their public trust, access to considerable sources of funds, and often cash-intensive nature. Additionally, some NPOs have a global presence that provides a framework for national and international operations and financial transactions, making them susceptible to infiltration by terrorist organisations. [Recommendation 8, p. 2] The objective of Recommendation 8 is to ensure that NPOs are not misused by terrorist organisations, and the approach taken is based on general principles that aim to protect the sector against abuse while promoting transparency and confidence in legitimate charitable activities. [Recommendation 8, p. 3]</t>
  </si>
  <si>
    <t>According to Recommendation [97] on page 99, the revision of the Recommendations has involved "extensive consultation" with stakeholders, including the private sector, civil society, and other interested parties. This suggests that the revisions were made in light of new information regarding emerging threats and vulnerabilities to the global financial system. However, I couldn't find a specific statement on why the FATF recommendations are being revised. The provided context passages only mention that the revision has been done "in accordance with its mandate" [2012 OECD/FATF 9] but do not provide further information on the reasons behind the revisions.</t>
  </si>
  <si>
    <t>According to Recommendation 1 [p.33], countries should implement a risk-based approach (RBA) because it is an effective way to combat money laundering and terrorist financing. The RBA allows competent authorities, financial institutions, and designated non-financial bodies and professions (DNFBPs) to ensure that measures to prevent or mitigate money laundering and terrorist financing are commensurate with the risks identified, enabling them to make decisions on how to allocate their resources in the most effective way.</t>
  </si>
  <si>
    <t>correct answers</t>
  </si>
  <si>
    <t>accuracy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</si>
</sst>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0" fontId="0" fillId="0" borderId="0" xfId="0" applyAlignment="1">
      <alignment vertical="center"/>
    </xf>
    <xf numFmtId="0" fontId="0" fillId="0" borderId="0" xfId="0" applyNumberFormat="1" applyAlignment="1">
      <alignment vertical="center"/>
    </xf>
    <xf numFmtId="0" fontId="13" fillId="33" borderId="10" xfId="0" applyFont="1" applyFill="1" applyBorder="1" applyAlignment="1">
      <alignment horizontal="center" vertical="center"/>
    </xf>
    <xf numFmtId="0" fontId="0" fillId="0" borderId="0" xfId="0" applyAlignment="1">
      <alignment horizontal="center" vertical="center"/>
    </xf>
    <xf numFmtId="0" fontId="13" fillId="33" borderId="11" xfId="0" applyFont="1" applyFill="1" applyBorder="1" applyAlignment="1">
      <alignment horizontal="center" vertical="center"/>
    </xf>
    <xf numFmtId="0" fontId="13" fillId="33" borderId="0" xfId="0" applyFont="1" applyFill="1" applyBorder="1" applyAlignment="1">
      <alignment horizontal="center" vertical="center"/>
    </xf>
    <xf numFmtId="164" fontId="0" fillId="0" borderId="0" xfId="1" applyNumberFormat="1" applyFont="1" applyAlignment="1">
      <alignment horizontal="center" vertical="center"/>
    </xf>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Neutral" xfId="9" builtinId="28" customBuiltin="1"/>
    <cellStyle name="Normal" xfId="0" builtinId="0"/>
    <cellStyle name="Notas" xfId="16" builtinId="10" customBuiltin="1"/>
    <cellStyle name="Porcentaje" xfId="1" builtinId="5"/>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6">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A1ADD64-BED2-49C6-AA62-2F758418D1CB}" autoFormatId="16" applyNumberFormats="0" applyBorderFormats="0" applyFontFormats="0" applyPatternFormats="0" applyAlignmentFormats="0" applyWidthHeightFormats="0">
  <queryTableRefresh nextId="10">
    <queryTableFields count="9">
      <queryTableField id="1" name="scenario" tableColumnId="1"/>
      <queryTableField id="2" name="chunking" tableColumnId="2"/>
      <queryTableField id="3" name="model" tableColumnId="3"/>
      <queryTableField id="4" name="question" tableColumnId="4"/>
      <queryTableField id="5" name="expected" tableColumnId="5"/>
      <queryTableField id="6" name="generated" tableColumnId="6"/>
      <queryTableField id="7" name="match_auto" tableColumnId="7"/>
      <queryTableField id="8" name="gen_time_s" tableColumnId="8"/>
      <queryTableField id="9" name="match_manual"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4C47C-C106-4590-AAB2-F9DD2190B8D5}" name="scenarios_review" displayName="scenarios_review" ref="A1:I73" tableType="queryTable" totalsRowShown="0">
  <autoFilter ref="A1:I73" xr:uid="{A9C4C47C-C106-4590-AAB2-F9DD2190B8D5}"/>
  <tableColumns count="9">
    <tableColumn id="1" xr3:uid="{DD314799-89A5-4AF8-88C9-51A3FE91049C}" uniqueName="1" name="scenario" queryTableFieldId="1"/>
    <tableColumn id="2" xr3:uid="{063F301C-69C3-4C20-8654-68DA11D6B8F5}" uniqueName="2" name="chunking" queryTableFieldId="2" dataDxfId="5"/>
    <tableColumn id="3" xr3:uid="{7AC19DB2-47E1-46A4-AAB0-C9191990C214}" uniqueName="3" name="model" queryTableFieldId="3" dataDxfId="3"/>
    <tableColumn id="4" xr3:uid="{BC2B08A3-9685-4C8A-A2A7-B5C5CDBA2772}" uniqueName="4" name="question" queryTableFieldId="4" dataDxfId="2"/>
    <tableColumn id="5" xr3:uid="{363015A4-31D7-45DC-A5AE-9C984323C4C2}" uniqueName="5" name="expected" queryTableFieldId="5" dataDxfId="1"/>
    <tableColumn id="6" xr3:uid="{6416ABC9-2D16-4298-8DA7-61FD0423F7D0}" uniqueName="6" name="generated" queryTableFieldId="6" dataDxfId="0"/>
    <tableColumn id="7" xr3:uid="{47269662-C37B-42D7-871F-BC7B0FBC6917}" uniqueName="7" name="match_auto" queryTableFieldId="7"/>
    <tableColumn id="8" xr3:uid="{53E69F3E-5BE2-43AB-B8DD-37781BC3BE5F}" uniqueName="8" name="gen_time_s" queryTableFieldId="8"/>
    <tableColumn id="9" xr3:uid="{2E16DA59-C2B8-4B3E-B4B6-8233E784358E}" uniqueName="9" name="match_manual" queryTableFieldId="9" dataDxfId="4"/>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9DFD-6BA3-4567-84F3-82C2E041565B}">
  <dimension ref="A1:I73"/>
  <sheetViews>
    <sheetView tabSelected="1" workbookViewId="0">
      <selection activeCell="D8" sqref="D8"/>
    </sheetView>
  </sheetViews>
  <sheetFormatPr baseColWidth="10" defaultRowHeight="14.4" x14ac:dyDescent="0.3"/>
  <cols>
    <col min="1" max="1" width="10.21875" bestFit="1" customWidth="1"/>
    <col min="2" max="2" width="18.88671875" customWidth="1"/>
    <col min="3" max="3" width="8.5546875" bestFit="1" customWidth="1"/>
    <col min="4" max="4" width="40" style="2" customWidth="1"/>
    <col min="5" max="5" width="42.21875" style="2" customWidth="1"/>
    <col min="6" max="6" width="57.109375" style="2" customWidth="1"/>
    <col min="7" max="7" width="13.44140625" bestFit="1" customWidth="1"/>
    <col min="8" max="8" width="12.88671875" customWidth="1"/>
    <col min="9" max="9" width="15.88671875" bestFit="1" customWidth="1"/>
  </cols>
  <sheetData>
    <row r="1" spans="1:9" x14ac:dyDescent="0.3">
      <c r="A1" t="s">
        <v>0</v>
      </c>
      <c r="B1" t="s">
        <v>1</v>
      </c>
      <c r="C1" t="s">
        <v>2</v>
      </c>
      <c r="D1" s="2" t="s">
        <v>3</v>
      </c>
      <c r="E1" s="2" t="s">
        <v>4</v>
      </c>
      <c r="F1" s="2" t="s">
        <v>5</v>
      </c>
      <c r="G1" t="s">
        <v>6</v>
      </c>
      <c r="H1" t="s">
        <v>7</v>
      </c>
      <c r="I1" t="s">
        <v>8</v>
      </c>
    </row>
    <row r="2" spans="1:9" x14ac:dyDescent="0.3">
      <c r="A2">
        <v>1</v>
      </c>
      <c r="B2" s="1" t="s">
        <v>9</v>
      </c>
      <c r="C2" s="1" t="s">
        <v>10</v>
      </c>
      <c r="D2" s="3" t="s">
        <v>11</v>
      </c>
      <c r="E2" s="3" t="s">
        <v>12</v>
      </c>
      <c r="F2" s="3" t="s">
        <v>13</v>
      </c>
      <c r="G2">
        <v>0</v>
      </c>
      <c r="H2">
        <v>488</v>
      </c>
      <c r="I2" s="1">
        <v>0</v>
      </c>
    </row>
    <row r="3" spans="1:9" x14ac:dyDescent="0.3">
      <c r="A3">
        <v>1</v>
      </c>
      <c r="B3" s="1" t="s">
        <v>9</v>
      </c>
      <c r="C3" s="1" t="s">
        <v>10</v>
      </c>
      <c r="D3" s="3" t="s">
        <v>15</v>
      </c>
      <c r="E3" s="3" t="s">
        <v>16</v>
      </c>
      <c r="F3" s="3" t="s">
        <v>17</v>
      </c>
      <c r="G3">
        <v>0</v>
      </c>
      <c r="H3">
        <v>282</v>
      </c>
      <c r="I3">
        <v>0</v>
      </c>
    </row>
    <row r="4" spans="1:9" x14ac:dyDescent="0.3">
      <c r="A4">
        <v>1</v>
      </c>
      <c r="B4" s="1" t="s">
        <v>9</v>
      </c>
      <c r="C4" s="1" t="s">
        <v>10</v>
      </c>
      <c r="D4" s="3" t="s">
        <v>18</v>
      </c>
      <c r="E4" s="3" t="s">
        <v>19</v>
      </c>
      <c r="F4" s="3" t="s">
        <v>20</v>
      </c>
      <c r="G4">
        <v>0</v>
      </c>
      <c r="H4">
        <v>277</v>
      </c>
      <c r="I4">
        <v>0</v>
      </c>
    </row>
    <row r="5" spans="1:9" x14ac:dyDescent="0.3">
      <c r="A5">
        <v>1</v>
      </c>
      <c r="B5" s="1" t="s">
        <v>9</v>
      </c>
      <c r="C5" s="1" t="s">
        <v>10</v>
      </c>
      <c r="D5" s="3" t="s">
        <v>21</v>
      </c>
      <c r="E5" s="3" t="s">
        <v>22</v>
      </c>
      <c r="F5" s="3" t="s">
        <v>23</v>
      </c>
      <c r="G5">
        <v>0</v>
      </c>
      <c r="H5">
        <v>278</v>
      </c>
      <c r="I5">
        <v>0</v>
      </c>
    </row>
    <row r="6" spans="1:9" x14ac:dyDescent="0.3">
      <c r="A6">
        <v>1</v>
      </c>
      <c r="B6" s="1" t="s">
        <v>9</v>
      </c>
      <c r="C6" s="1" t="s">
        <v>10</v>
      </c>
      <c r="D6" s="3" t="s">
        <v>24</v>
      </c>
      <c r="E6" s="3" t="s">
        <v>25</v>
      </c>
      <c r="F6" s="3" t="s">
        <v>26</v>
      </c>
      <c r="G6">
        <v>0</v>
      </c>
      <c r="H6">
        <v>299</v>
      </c>
      <c r="I6" s="1">
        <v>1</v>
      </c>
    </row>
    <row r="7" spans="1:9" x14ac:dyDescent="0.3">
      <c r="A7">
        <v>1</v>
      </c>
      <c r="B7" s="1" t="s">
        <v>9</v>
      </c>
      <c r="C7" s="1" t="s">
        <v>10</v>
      </c>
      <c r="D7" s="3" t="s">
        <v>27</v>
      </c>
      <c r="E7" s="3" t="s">
        <v>28</v>
      </c>
      <c r="F7" s="3" t="s">
        <v>29</v>
      </c>
      <c r="G7">
        <v>0</v>
      </c>
      <c r="H7">
        <v>288</v>
      </c>
      <c r="I7">
        <v>0</v>
      </c>
    </row>
    <row r="8" spans="1:9" x14ac:dyDescent="0.3">
      <c r="A8">
        <v>1</v>
      </c>
      <c r="B8" s="1" t="s">
        <v>9</v>
      </c>
      <c r="C8" s="1" t="s">
        <v>10</v>
      </c>
      <c r="D8" s="3" t="s">
        <v>30</v>
      </c>
      <c r="E8" s="3" t="s">
        <v>31</v>
      </c>
      <c r="F8" s="3" t="s">
        <v>32</v>
      </c>
      <c r="G8">
        <v>0</v>
      </c>
      <c r="H8">
        <v>277</v>
      </c>
      <c r="I8" s="1">
        <v>1</v>
      </c>
    </row>
    <row r="9" spans="1:9" x14ac:dyDescent="0.3">
      <c r="A9">
        <v>1</v>
      </c>
      <c r="B9" s="1" t="s">
        <v>9</v>
      </c>
      <c r="C9" s="1" t="s">
        <v>10</v>
      </c>
      <c r="D9" s="3" t="s">
        <v>33</v>
      </c>
      <c r="E9" s="3" t="s">
        <v>34</v>
      </c>
      <c r="F9" s="3" t="s">
        <v>35</v>
      </c>
      <c r="G9">
        <v>0</v>
      </c>
      <c r="H9">
        <v>28</v>
      </c>
      <c r="I9" s="1">
        <v>1</v>
      </c>
    </row>
    <row r="10" spans="1:9" x14ac:dyDescent="0.3">
      <c r="A10">
        <v>2</v>
      </c>
      <c r="B10" s="1" t="s">
        <v>36</v>
      </c>
      <c r="C10" s="1" t="s">
        <v>10</v>
      </c>
      <c r="D10" s="3" t="s">
        <v>11</v>
      </c>
      <c r="E10" s="3" t="s">
        <v>12</v>
      </c>
      <c r="F10" s="3" t="s">
        <v>37</v>
      </c>
      <c r="G10">
        <v>0</v>
      </c>
      <c r="H10">
        <v>287</v>
      </c>
      <c r="I10" s="1">
        <v>1</v>
      </c>
    </row>
    <row r="11" spans="1:9" x14ac:dyDescent="0.3">
      <c r="A11">
        <v>2</v>
      </c>
      <c r="B11" s="1" t="s">
        <v>36</v>
      </c>
      <c r="C11" s="1" t="s">
        <v>10</v>
      </c>
      <c r="D11" s="3" t="s">
        <v>15</v>
      </c>
      <c r="E11" s="3" t="s">
        <v>16</v>
      </c>
      <c r="F11" s="3" t="s">
        <v>38</v>
      </c>
      <c r="G11">
        <v>0</v>
      </c>
      <c r="H11">
        <v>282</v>
      </c>
      <c r="I11" s="1">
        <v>1</v>
      </c>
    </row>
    <row r="12" spans="1:9" x14ac:dyDescent="0.3">
      <c r="A12">
        <v>2</v>
      </c>
      <c r="B12" s="1" t="s">
        <v>36</v>
      </c>
      <c r="C12" s="1" t="s">
        <v>10</v>
      </c>
      <c r="D12" s="3" t="s">
        <v>18</v>
      </c>
      <c r="E12" s="3" t="s">
        <v>19</v>
      </c>
      <c r="F12" s="3" t="s">
        <v>39</v>
      </c>
      <c r="G12">
        <v>0</v>
      </c>
      <c r="H12">
        <v>28</v>
      </c>
      <c r="I12" s="1">
        <v>0</v>
      </c>
    </row>
    <row r="13" spans="1:9" x14ac:dyDescent="0.3">
      <c r="A13">
        <v>2</v>
      </c>
      <c r="B13" s="1" t="s">
        <v>36</v>
      </c>
      <c r="C13" s="1" t="s">
        <v>10</v>
      </c>
      <c r="D13" s="3" t="s">
        <v>21</v>
      </c>
      <c r="E13" s="3" t="s">
        <v>22</v>
      </c>
      <c r="F13" s="3" t="s">
        <v>40</v>
      </c>
      <c r="G13">
        <v>0</v>
      </c>
      <c r="H13">
        <v>278</v>
      </c>
      <c r="I13" s="1">
        <v>0</v>
      </c>
    </row>
    <row r="14" spans="1:9" x14ac:dyDescent="0.3">
      <c r="A14">
        <v>2</v>
      </c>
      <c r="B14" s="1" t="s">
        <v>36</v>
      </c>
      <c r="C14" s="1" t="s">
        <v>10</v>
      </c>
      <c r="D14" s="3" t="s">
        <v>24</v>
      </c>
      <c r="E14" s="3" t="s">
        <v>25</v>
      </c>
      <c r="F14" s="3" t="s">
        <v>41</v>
      </c>
      <c r="G14">
        <v>0</v>
      </c>
      <c r="H14">
        <v>279</v>
      </c>
      <c r="I14" s="1">
        <v>0</v>
      </c>
    </row>
    <row r="15" spans="1:9" x14ac:dyDescent="0.3">
      <c r="A15">
        <v>2</v>
      </c>
      <c r="B15" s="1" t="s">
        <v>36</v>
      </c>
      <c r="C15" s="1" t="s">
        <v>10</v>
      </c>
      <c r="D15" s="3" t="s">
        <v>27</v>
      </c>
      <c r="E15" s="3" t="s">
        <v>28</v>
      </c>
      <c r="F15" s="3" t="s">
        <v>42</v>
      </c>
      <c r="G15">
        <v>0</v>
      </c>
      <c r="H15">
        <v>283</v>
      </c>
      <c r="I15" s="1">
        <v>0</v>
      </c>
    </row>
    <row r="16" spans="1:9" x14ac:dyDescent="0.3">
      <c r="A16">
        <v>2</v>
      </c>
      <c r="B16" s="1" t="s">
        <v>36</v>
      </c>
      <c r="C16" s="1" t="s">
        <v>10</v>
      </c>
      <c r="D16" s="3" t="s">
        <v>30</v>
      </c>
      <c r="E16" s="3" t="s">
        <v>31</v>
      </c>
      <c r="F16" s="3" t="s">
        <v>43</v>
      </c>
      <c r="G16">
        <v>0</v>
      </c>
      <c r="H16">
        <v>282</v>
      </c>
      <c r="I16" s="1">
        <v>0</v>
      </c>
    </row>
    <row r="17" spans="1:9" x14ac:dyDescent="0.3">
      <c r="A17">
        <v>2</v>
      </c>
      <c r="B17" s="1" t="s">
        <v>36</v>
      </c>
      <c r="C17" s="1" t="s">
        <v>10</v>
      </c>
      <c r="D17" s="3" t="s">
        <v>33</v>
      </c>
      <c r="E17" s="3" t="s">
        <v>34</v>
      </c>
      <c r="F17" s="3" t="s">
        <v>44</v>
      </c>
      <c r="G17">
        <v>0</v>
      </c>
      <c r="H17">
        <v>298</v>
      </c>
      <c r="I17" s="1">
        <v>0</v>
      </c>
    </row>
    <row r="18" spans="1:9" x14ac:dyDescent="0.3">
      <c r="A18">
        <v>3</v>
      </c>
      <c r="B18" s="1" t="s">
        <v>45</v>
      </c>
      <c r="C18" s="1" t="s">
        <v>10</v>
      </c>
      <c r="D18" s="3" t="s">
        <v>11</v>
      </c>
      <c r="E18" s="3" t="s">
        <v>12</v>
      </c>
      <c r="F18" s="3" t="s">
        <v>37</v>
      </c>
      <c r="G18">
        <v>0</v>
      </c>
      <c r="H18">
        <v>284</v>
      </c>
      <c r="I18" s="1">
        <v>1</v>
      </c>
    </row>
    <row r="19" spans="1:9" x14ac:dyDescent="0.3">
      <c r="A19">
        <v>3</v>
      </c>
      <c r="B19" s="1" t="s">
        <v>45</v>
      </c>
      <c r="C19" s="1" t="s">
        <v>10</v>
      </c>
      <c r="D19" s="3" t="s">
        <v>15</v>
      </c>
      <c r="E19" s="3" t="s">
        <v>16</v>
      </c>
      <c r="F19" s="3" t="s">
        <v>38</v>
      </c>
      <c r="G19">
        <v>0</v>
      </c>
      <c r="H19">
        <v>279</v>
      </c>
      <c r="I19" s="1">
        <v>1</v>
      </c>
    </row>
    <row r="20" spans="1:9" x14ac:dyDescent="0.3">
      <c r="A20">
        <v>3</v>
      </c>
      <c r="B20" s="1" t="s">
        <v>45</v>
      </c>
      <c r="C20" s="1" t="s">
        <v>10</v>
      </c>
      <c r="D20" s="3" t="s">
        <v>18</v>
      </c>
      <c r="E20" s="3" t="s">
        <v>19</v>
      </c>
      <c r="F20" s="3" t="s">
        <v>39</v>
      </c>
      <c r="G20">
        <v>0</v>
      </c>
      <c r="H20">
        <v>277</v>
      </c>
      <c r="I20" s="1">
        <v>0</v>
      </c>
    </row>
    <row r="21" spans="1:9" x14ac:dyDescent="0.3">
      <c r="A21">
        <v>3</v>
      </c>
      <c r="B21" s="1" t="s">
        <v>45</v>
      </c>
      <c r="C21" s="1" t="s">
        <v>10</v>
      </c>
      <c r="D21" s="3" t="s">
        <v>21</v>
      </c>
      <c r="E21" s="3" t="s">
        <v>22</v>
      </c>
      <c r="F21" s="3" t="s">
        <v>40</v>
      </c>
      <c r="G21">
        <v>0</v>
      </c>
      <c r="H21">
        <v>279</v>
      </c>
      <c r="I21" s="1">
        <v>0</v>
      </c>
    </row>
    <row r="22" spans="1:9" x14ac:dyDescent="0.3">
      <c r="A22">
        <v>3</v>
      </c>
      <c r="B22" s="1" t="s">
        <v>45</v>
      </c>
      <c r="C22" s="1" t="s">
        <v>10</v>
      </c>
      <c r="D22" s="3" t="s">
        <v>24</v>
      </c>
      <c r="E22" s="3" t="s">
        <v>25</v>
      </c>
      <c r="F22" s="3" t="s">
        <v>41</v>
      </c>
      <c r="G22">
        <v>0</v>
      </c>
      <c r="H22">
        <v>289</v>
      </c>
      <c r="I22" s="1">
        <v>0</v>
      </c>
    </row>
    <row r="23" spans="1:9" x14ac:dyDescent="0.3">
      <c r="A23">
        <v>3</v>
      </c>
      <c r="B23" s="1" t="s">
        <v>45</v>
      </c>
      <c r="C23" s="1" t="s">
        <v>10</v>
      </c>
      <c r="D23" s="3" t="s">
        <v>27</v>
      </c>
      <c r="E23" s="3" t="s">
        <v>28</v>
      </c>
      <c r="F23" s="3" t="s">
        <v>42</v>
      </c>
      <c r="G23">
        <v>0</v>
      </c>
      <c r="H23">
        <v>292</v>
      </c>
      <c r="I23" s="1">
        <v>0</v>
      </c>
    </row>
    <row r="24" spans="1:9" x14ac:dyDescent="0.3">
      <c r="A24">
        <v>3</v>
      </c>
      <c r="B24" s="1" t="s">
        <v>45</v>
      </c>
      <c r="C24" s="1" t="s">
        <v>10</v>
      </c>
      <c r="D24" s="3" t="s">
        <v>30</v>
      </c>
      <c r="E24" s="3" t="s">
        <v>31</v>
      </c>
      <c r="F24" s="3" t="s">
        <v>43</v>
      </c>
      <c r="G24">
        <v>0</v>
      </c>
      <c r="H24">
        <v>299</v>
      </c>
      <c r="I24" s="1">
        <v>0</v>
      </c>
    </row>
    <row r="25" spans="1:9" x14ac:dyDescent="0.3">
      <c r="A25">
        <v>3</v>
      </c>
      <c r="B25" s="1" t="s">
        <v>45</v>
      </c>
      <c r="C25" s="1" t="s">
        <v>10</v>
      </c>
      <c r="D25" s="3" t="s">
        <v>33</v>
      </c>
      <c r="E25" s="3" t="s">
        <v>34</v>
      </c>
      <c r="F25" s="3" t="s">
        <v>44</v>
      </c>
      <c r="G25">
        <v>0</v>
      </c>
      <c r="H25">
        <v>309</v>
      </c>
      <c r="I25" s="1">
        <v>0</v>
      </c>
    </row>
    <row r="26" spans="1:9" x14ac:dyDescent="0.3">
      <c r="A26">
        <v>4</v>
      </c>
      <c r="B26" s="1" t="s">
        <v>9</v>
      </c>
      <c r="C26" s="1" t="s">
        <v>46</v>
      </c>
      <c r="D26" s="3" t="s">
        <v>11</v>
      </c>
      <c r="E26" s="3" t="s">
        <v>12</v>
      </c>
      <c r="F26" s="3" t="s">
        <v>47</v>
      </c>
      <c r="G26">
        <v>0</v>
      </c>
      <c r="H26">
        <v>328</v>
      </c>
      <c r="I26" s="1">
        <v>1</v>
      </c>
    </row>
    <row r="27" spans="1:9" x14ac:dyDescent="0.3">
      <c r="A27">
        <v>4</v>
      </c>
      <c r="B27" s="1" t="s">
        <v>9</v>
      </c>
      <c r="C27" s="1" t="s">
        <v>46</v>
      </c>
      <c r="D27" s="3" t="s">
        <v>15</v>
      </c>
      <c r="E27" s="3" t="s">
        <v>16</v>
      </c>
      <c r="F27" s="3" t="s">
        <v>48</v>
      </c>
      <c r="G27">
        <v>1</v>
      </c>
      <c r="H27">
        <v>38</v>
      </c>
      <c r="I27" s="1">
        <v>1</v>
      </c>
    </row>
    <row r="28" spans="1:9" x14ac:dyDescent="0.3">
      <c r="A28">
        <v>4</v>
      </c>
      <c r="B28" s="1" t="s">
        <v>9</v>
      </c>
      <c r="C28" s="1" t="s">
        <v>46</v>
      </c>
      <c r="D28" s="3" t="s">
        <v>18</v>
      </c>
      <c r="E28" s="3" t="s">
        <v>19</v>
      </c>
      <c r="F28" s="3" t="s">
        <v>49</v>
      </c>
      <c r="G28">
        <v>0</v>
      </c>
      <c r="H28">
        <v>59</v>
      </c>
      <c r="I28" s="1">
        <v>0</v>
      </c>
    </row>
    <row r="29" spans="1:9" x14ac:dyDescent="0.3">
      <c r="A29">
        <v>4</v>
      </c>
      <c r="B29" s="1" t="s">
        <v>9</v>
      </c>
      <c r="C29" s="1" t="s">
        <v>46</v>
      </c>
      <c r="D29" s="3" t="s">
        <v>21</v>
      </c>
      <c r="E29" s="3" t="s">
        <v>22</v>
      </c>
      <c r="F29" s="3" t="s">
        <v>50</v>
      </c>
      <c r="G29">
        <v>0</v>
      </c>
      <c r="H29">
        <v>35</v>
      </c>
      <c r="I29" s="1">
        <v>0</v>
      </c>
    </row>
    <row r="30" spans="1:9" x14ac:dyDescent="0.3">
      <c r="A30">
        <v>4</v>
      </c>
      <c r="B30" s="1" t="s">
        <v>9</v>
      </c>
      <c r="C30" s="1" t="s">
        <v>46</v>
      </c>
      <c r="D30" s="3" t="s">
        <v>24</v>
      </c>
      <c r="E30" s="3" t="s">
        <v>25</v>
      </c>
      <c r="F30" s="3" t="s">
        <v>14</v>
      </c>
      <c r="G30">
        <v>0</v>
      </c>
      <c r="H30">
        <v>31</v>
      </c>
      <c r="I30" s="1">
        <v>0</v>
      </c>
    </row>
    <row r="31" spans="1:9" x14ac:dyDescent="0.3">
      <c r="A31">
        <v>4</v>
      </c>
      <c r="B31" s="1" t="s">
        <v>9</v>
      </c>
      <c r="C31" s="1" t="s">
        <v>46</v>
      </c>
      <c r="D31" s="3" t="s">
        <v>27</v>
      </c>
      <c r="E31" s="3" t="s">
        <v>28</v>
      </c>
      <c r="F31" s="3" t="s">
        <v>51</v>
      </c>
      <c r="G31">
        <v>0</v>
      </c>
      <c r="H31">
        <v>113</v>
      </c>
      <c r="I31" s="1">
        <v>0</v>
      </c>
    </row>
    <row r="32" spans="1:9" x14ac:dyDescent="0.3">
      <c r="A32">
        <v>4</v>
      </c>
      <c r="B32" s="1" t="s">
        <v>9</v>
      </c>
      <c r="C32" s="1" t="s">
        <v>46</v>
      </c>
      <c r="D32" s="3" t="s">
        <v>30</v>
      </c>
      <c r="E32" s="3" t="s">
        <v>31</v>
      </c>
      <c r="F32" s="3" t="s">
        <v>52</v>
      </c>
      <c r="G32">
        <v>0</v>
      </c>
      <c r="H32">
        <v>46</v>
      </c>
      <c r="I32" s="1">
        <v>1</v>
      </c>
    </row>
    <row r="33" spans="1:9" x14ac:dyDescent="0.3">
      <c r="A33">
        <v>4</v>
      </c>
      <c r="B33" s="1" t="s">
        <v>9</v>
      </c>
      <c r="C33" s="1" t="s">
        <v>46</v>
      </c>
      <c r="D33" s="3" t="s">
        <v>33</v>
      </c>
      <c r="E33" s="3" t="s">
        <v>34</v>
      </c>
      <c r="F33" s="3" t="s">
        <v>53</v>
      </c>
      <c r="G33">
        <v>0</v>
      </c>
      <c r="H33">
        <v>39</v>
      </c>
      <c r="I33" s="1">
        <v>1</v>
      </c>
    </row>
    <row r="34" spans="1:9" x14ac:dyDescent="0.3">
      <c r="A34">
        <v>5</v>
      </c>
      <c r="B34" s="1" t="s">
        <v>36</v>
      </c>
      <c r="C34" s="1" t="s">
        <v>46</v>
      </c>
      <c r="D34" s="3" t="s">
        <v>11</v>
      </c>
      <c r="E34" s="3" t="s">
        <v>12</v>
      </c>
      <c r="F34" s="3" t="s">
        <v>47</v>
      </c>
      <c r="G34">
        <v>0</v>
      </c>
      <c r="H34">
        <v>9</v>
      </c>
      <c r="I34" s="1">
        <v>1</v>
      </c>
    </row>
    <row r="35" spans="1:9" x14ac:dyDescent="0.3">
      <c r="A35">
        <v>5</v>
      </c>
      <c r="B35" s="1" t="s">
        <v>36</v>
      </c>
      <c r="C35" s="1" t="s">
        <v>46</v>
      </c>
      <c r="D35" s="3" t="s">
        <v>15</v>
      </c>
      <c r="E35" s="3" t="s">
        <v>16</v>
      </c>
      <c r="F35" s="3" t="s">
        <v>48</v>
      </c>
      <c r="G35">
        <v>1</v>
      </c>
      <c r="H35">
        <v>39</v>
      </c>
      <c r="I35" s="1">
        <v>1</v>
      </c>
    </row>
    <row r="36" spans="1:9" x14ac:dyDescent="0.3">
      <c r="A36">
        <v>5</v>
      </c>
      <c r="B36" s="1" t="s">
        <v>36</v>
      </c>
      <c r="C36" s="1" t="s">
        <v>46</v>
      </c>
      <c r="D36" s="3" t="s">
        <v>18</v>
      </c>
      <c r="E36" s="3" t="s">
        <v>19</v>
      </c>
      <c r="F36" s="3" t="s">
        <v>49</v>
      </c>
      <c r="G36">
        <v>0</v>
      </c>
      <c r="H36">
        <v>8</v>
      </c>
      <c r="I36" s="1">
        <v>0</v>
      </c>
    </row>
    <row r="37" spans="1:9" x14ac:dyDescent="0.3">
      <c r="A37">
        <v>5</v>
      </c>
      <c r="B37" s="1" t="s">
        <v>36</v>
      </c>
      <c r="C37" s="1" t="s">
        <v>46</v>
      </c>
      <c r="D37" s="3" t="s">
        <v>21</v>
      </c>
      <c r="E37" s="3" t="s">
        <v>22</v>
      </c>
      <c r="F37" s="3" t="s">
        <v>50</v>
      </c>
      <c r="G37">
        <v>0</v>
      </c>
      <c r="H37">
        <v>36</v>
      </c>
      <c r="I37" s="1">
        <v>0</v>
      </c>
    </row>
    <row r="38" spans="1:9" x14ac:dyDescent="0.3">
      <c r="A38">
        <v>5</v>
      </c>
      <c r="B38" s="1" t="s">
        <v>36</v>
      </c>
      <c r="C38" s="1" t="s">
        <v>46</v>
      </c>
      <c r="D38" s="3" t="s">
        <v>24</v>
      </c>
      <c r="E38" s="3" t="s">
        <v>25</v>
      </c>
      <c r="F38" s="3" t="s">
        <v>14</v>
      </c>
      <c r="G38">
        <v>0</v>
      </c>
      <c r="H38">
        <v>34</v>
      </c>
      <c r="I38" s="1">
        <v>0</v>
      </c>
    </row>
    <row r="39" spans="1:9" x14ac:dyDescent="0.3">
      <c r="A39">
        <v>5</v>
      </c>
      <c r="B39" s="1" t="s">
        <v>36</v>
      </c>
      <c r="C39" s="1" t="s">
        <v>46</v>
      </c>
      <c r="D39" s="3" t="s">
        <v>27</v>
      </c>
      <c r="E39" s="3" t="s">
        <v>28</v>
      </c>
      <c r="F39" s="3" t="s">
        <v>51</v>
      </c>
      <c r="G39">
        <v>0</v>
      </c>
      <c r="H39">
        <v>159</v>
      </c>
      <c r="I39" s="1">
        <v>0</v>
      </c>
    </row>
    <row r="40" spans="1:9" x14ac:dyDescent="0.3">
      <c r="A40">
        <v>5</v>
      </c>
      <c r="B40" s="1" t="s">
        <v>36</v>
      </c>
      <c r="C40" s="1" t="s">
        <v>46</v>
      </c>
      <c r="D40" s="3" t="s">
        <v>30</v>
      </c>
      <c r="E40" s="3" t="s">
        <v>31</v>
      </c>
      <c r="F40" s="3" t="s">
        <v>52</v>
      </c>
      <c r="G40">
        <v>0</v>
      </c>
      <c r="H40">
        <v>49</v>
      </c>
      <c r="I40" s="1">
        <v>1</v>
      </c>
    </row>
    <row r="41" spans="1:9" x14ac:dyDescent="0.3">
      <c r="A41">
        <v>5</v>
      </c>
      <c r="B41" s="1" t="s">
        <v>36</v>
      </c>
      <c r="C41" s="1" t="s">
        <v>46</v>
      </c>
      <c r="D41" s="3" t="s">
        <v>33</v>
      </c>
      <c r="E41" s="3" t="s">
        <v>34</v>
      </c>
      <c r="F41" s="3" t="s">
        <v>53</v>
      </c>
      <c r="G41">
        <v>0</v>
      </c>
      <c r="H41">
        <v>42</v>
      </c>
      <c r="I41" s="1">
        <v>1</v>
      </c>
    </row>
    <row r="42" spans="1:9" x14ac:dyDescent="0.3">
      <c r="A42">
        <v>6</v>
      </c>
      <c r="B42" s="1" t="s">
        <v>45</v>
      </c>
      <c r="C42" s="1" t="s">
        <v>46</v>
      </c>
      <c r="D42" s="3" t="s">
        <v>11</v>
      </c>
      <c r="E42" s="3" t="s">
        <v>12</v>
      </c>
      <c r="F42" s="3" t="s">
        <v>47</v>
      </c>
      <c r="G42">
        <v>0</v>
      </c>
      <c r="H42">
        <v>89</v>
      </c>
      <c r="I42" s="1">
        <v>1</v>
      </c>
    </row>
    <row r="43" spans="1:9" x14ac:dyDescent="0.3">
      <c r="A43">
        <v>6</v>
      </c>
      <c r="B43" s="1" t="s">
        <v>45</v>
      </c>
      <c r="C43" s="1" t="s">
        <v>46</v>
      </c>
      <c r="D43" s="3" t="s">
        <v>15</v>
      </c>
      <c r="E43" s="3" t="s">
        <v>16</v>
      </c>
      <c r="F43" s="3" t="s">
        <v>48</v>
      </c>
      <c r="G43">
        <v>1</v>
      </c>
      <c r="H43">
        <v>41</v>
      </c>
      <c r="I43" s="1">
        <v>1</v>
      </c>
    </row>
    <row r="44" spans="1:9" x14ac:dyDescent="0.3">
      <c r="A44">
        <v>6</v>
      </c>
      <c r="B44" s="1" t="s">
        <v>45</v>
      </c>
      <c r="C44" s="1" t="s">
        <v>46</v>
      </c>
      <c r="D44" s="3" t="s">
        <v>18</v>
      </c>
      <c r="E44" s="3" t="s">
        <v>19</v>
      </c>
      <c r="F44" s="3" t="s">
        <v>49</v>
      </c>
      <c r="G44">
        <v>0</v>
      </c>
      <c r="H44">
        <v>78</v>
      </c>
      <c r="I44" s="1">
        <v>0</v>
      </c>
    </row>
    <row r="45" spans="1:9" x14ac:dyDescent="0.3">
      <c r="A45">
        <v>6</v>
      </c>
      <c r="B45" s="1" t="s">
        <v>45</v>
      </c>
      <c r="C45" s="1" t="s">
        <v>46</v>
      </c>
      <c r="D45" s="3" t="s">
        <v>21</v>
      </c>
      <c r="E45" s="3" t="s">
        <v>22</v>
      </c>
      <c r="F45" s="3" t="s">
        <v>50</v>
      </c>
      <c r="G45">
        <v>0</v>
      </c>
      <c r="H45">
        <v>37</v>
      </c>
      <c r="I45" s="1">
        <v>0</v>
      </c>
    </row>
    <row r="46" spans="1:9" x14ac:dyDescent="0.3">
      <c r="A46">
        <v>6</v>
      </c>
      <c r="B46" s="1" t="s">
        <v>45</v>
      </c>
      <c r="C46" s="1" t="s">
        <v>46</v>
      </c>
      <c r="D46" s="3" t="s">
        <v>24</v>
      </c>
      <c r="E46" s="3" t="s">
        <v>25</v>
      </c>
      <c r="F46" s="3" t="s">
        <v>14</v>
      </c>
      <c r="G46">
        <v>0</v>
      </c>
      <c r="H46">
        <v>34</v>
      </c>
      <c r="I46" s="1">
        <v>0</v>
      </c>
    </row>
    <row r="47" spans="1:9" x14ac:dyDescent="0.3">
      <c r="A47">
        <v>6</v>
      </c>
      <c r="B47" s="1" t="s">
        <v>45</v>
      </c>
      <c r="C47" s="1" t="s">
        <v>46</v>
      </c>
      <c r="D47" s="3" t="s">
        <v>27</v>
      </c>
      <c r="E47" s="3" t="s">
        <v>28</v>
      </c>
      <c r="F47" s="3" t="s">
        <v>51</v>
      </c>
      <c r="G47">
        <v>0</v>
      </c>
      <c r="H47">
        <v>143</v>
      </c>
      <c r="I47" s="1">
        <v>0</v>
      </c>
    </row>
    <row r="48" spans="1:9" x14ac:dyDescent="0.3">
      <c r="A48">
        <v>6</v>
      </c>
      <c r="B48" s="1" t="s">
        <v>45</v>
      </c>
      <c r="C48" s="1" t="s">
        <v>46</v>
      </c>
      <c r="D48" s="3" t="s">
        <v>30</v>
      </c>
      <c r="E48" s="3" t="s">
        <v>31</v>
      </c>
      <c r="F48" s="3" t="s">
        <v>52</v>
      </c>
      <c r="G48">
        <v>0</v>
      </c>
      <c r="H48">
        <v>5</v>
      </c>
      <c r="I48" s="1">
        <v>1</v>
      </c>
    </row>
    <row r="49" spans="1:9" x14ac:dyDescent="0.3">
      <c r="A49">
        <v>6</v>
      </c>
      <c r="B49" s="1" t="s">
        <v>45</v>
      </c>
      <c r="C49" s="1" t="s">
        <v>46</v>
      </c>
      <c r="D49" s="3" t="s">
        <v>33</v>
      </c>
      <c r="E49" s="3" t="s">
        <v>34</v>
      </c>
      <c r="F49" s="3" t="s">
        <v>53</v>
      </c>
      <c r="G49">
        <v>0</v>
      </c>
      <c r="H49">
        <v>45</v>
      </c>
      <c r="I49" s="1">
        <v>1</v>
      </c>
    </row>
    <row r="50" spans="1:9" x14ac:dyDescent="0.3">
      <c r="A50">
        <v>7</v>
      </c>
      <c r="B50" s="1" t="s">
        <v>9</v>
      </c>
      <c r="C50" s="1" t="s">
        <v>54</v>
      </c>
      <c r="D50" s="3" t="s">
        <v>11</v>
      </c>
      <c r="E50" s="3" t="s">
        <v>12</v>
      </c>
      <c r="F50" s="3" t="s">
        <v>55</v>
      </c>
      <c r="G50">
        <v>0</v>
      </c>
      <c r="H50">
        <v>1862</v>
      </c>
      <c r="I50" s="1">
        <v>1</v>
      </c>
    </row>
    <row r="51" spans="1:9" x14ac:dyDescent="0.3">
      <c r="A51">
        <v>7</v>
      </c>
      <c r="B51" s="1" t="s">
        <v>9</v>
      </c>
      <c r="C51" s="1" t="s">
        <v>54</v>
      </c>
      <c r="D51" s="3" t="s">
        <v>15</v>
      </c>
      <c r="E51" s="3" t="s">
        <v>16</v>
      </c>
      <c r="F51" s="3" t="s">
        <v>55</v>
      </c>
      <c r="G51">
        <v>1</v>
      </c>
      <c r="H51">
        <v>465</v>
      </c>
      <c r="I51" s="1">
        <v>1</v>
      </c>
    </row>
    <row r="52" spans="1:9" x14ac:dyDescent="0.3">
      <c r="A52">
        <v>7</v>
      </c>
      <c r="B52" s="1" t="s">
        <v>9</v>
      </c>
      <c r="C52" s="1" t="s">
        <v>54</v>
      </c>
      <c r="D52" s="3" t="s">
        <v>18</v>
      </c>
      <c r="E52" s="3" t="s">
        <v>19</v>
      </c>
      <c r="F52" s="3" t="s">
        <v>56</v>
      </c>
      <c r="G52">
        <v>0</v>
      </c>
      <c r="H52">
        <v>1067</v>
      </c>
      <c r="I52" s="1">
        <v>1</v>
      </c>
    </row>
    <row r="53" spans="1:9" x14ac:dyDescent="0.3">
      <c r="A53">
        <v>7</v>
      </c>
      <c r="B53" s="1" t="s">
        <v>9</v>
      </c>
      <c r="C53" s="1" t="s">
        <v>54</v>
      </c>
      <c r="D53" s="3" t="s">
        <v>21</v>
      </c>
      <c r="E53" s="3" t="s">
        <v>22</v>
      </c>
      <c r="F53" s="3" t="s">
        <v>57</v>
      </c>
      <c r="G53">
        <v>0</v>
      </c>
      <c r="H53">
        <v>683</v>
      </c>
      <c r="I53" s="1">
        <v>0</v>
      </c>
    </row>
    <row r="54" spans="1:9" x14ac:dyDescent="0.3">
      <c r="A54">
        <v>7</v>
      </c>
      <c r="B54" s="1" t="s">
        <v>9</v>
      </c>
      <c r="C54" s="1" t="s">
        <v>54</v>
      </c>
      <c r="D54" s="3" t="s">
        <v>24</v>
      </c>
      <c r="E54" s="3" t="s">
        <v>25</v>
      </c>
      <c r="F54" s="3" t="s">
        <v>58</v>
      </c>
      <c r="G54">
        <v>0</v>
      </c>
      <c r="H54">
        <v>383</v>
      </c>
      <c r="I54" s="1">
        <v>1</v>
      </c>
    </row>
    <row r="55" spans="1:9" x14ac:dyDescent="0.3">
      <c r="A55">
        <v>7</v>
      </c>
      <c r="B55" s="1" t="s">
        <v>9</v>
      </c>
      <c r="C55" s="1" t="s">
        <v>54</v>
      </c>
      <c r="D55" s="3" t="s">
        <v>27</v>
      </c>
      <c r="E55" s="3" t="s">
        <v>28</v>
      </c>
      <c r="F55" s="3" t="s">
        <v>59</v>
      </c>
      <c r="G55">
        <v>0</v>
      </c>
      <c r="H55">
        <v>1602</v>
      </c>
      <c r="I55" s="1">
        <v>1</v>
      </c>
    </row>
    <row r="56" spans="1:9" x14ac:dyDescent="0.3">
      <c r="A56">
        <v>7</v>
      </c>
      <c r="B56" s="1" t="s">
        <v>9</v>
      </c>
      <c r="C56" s="1" t="s">
        <v>54</v>
      </c>
      <c r="D56" s="3" t="s">
        <v>30</v>
      </c>
      <c r="E56" s="3" t="s">
        <v>31</v>
      </c>
      <c r="F56" s="3" t="s">
        <v>60</v>
      </c>
      <c r="G56">
        <v>0</v>
      </c>
      <c r="H56">
        <v>43</v>
      </c>
      <c r="I56" s="1">
        <v>1</v>
      </c>
    </row>
    <row r="57" spans="1:9" x14ac:dyDescent="0.3">
      <c r="A57">
        <v>7</v>
      </c>
      <c r="B57" s="1" t="s">
        <v>9</v>
      </c>
      <c r="C57" s="1" t="s">
        <v>54</v>
      </c>
      <c r="D57" s="3" t="s">
        <v>33</v>
      </c>
      <c r="E57" s="3" t="s">
        <v>34</v>
      </c>
      <c r="F57" s="3" t="s">
        <v>61</v>
      </c>
      <c r="G57">
        <v>0</v>
      </c>
      <c r="H57">
        <v>1115</v>
      </c>
      <c r="I57" s="1">
        <v>1</v>
      </c>
    </row>
    <row r="58" spans="1:9" x14ac:dyDescent="0.3">
      <c r="A58">
        <v>8</v>
      </c>
      <c r="B58" s="1" t="s">
        <v>36</v>
      </c>
      <c r="C58" s="1" t="s">
        <v>54</v>
      </c>
      <c r="D58" s="3" t="s">
        <v>11</v>
      </c>
      <c r="E58" s="3" t="s">
        <v>12</v>
      </c>
      <c r="F58" s="3" t="s">
        <v>55</v>
      </c>
      <c r="G58">
        <v>0</v>
      </c>
      <c r="H58">
        <v>818</v>
      </c>
      <c r="I58" s="1">
        <v>1</v>
      </c>
    </row>
    <row r="59" spans="1:9" x14ac:dyDescent="0.3">
      <c r="A59">
        <v>8</v>
      </c>
      <c r="B59" s="1" t="s">
        <v>36</v>
      </c>
      <c r="C59" s="1" t="s">
        <v>54</v>
      </c>
      <c r="D59" s="3" t="s">
        <v>15</v>
      </c>
      <c r="E59" s="3" t="s">
        <v>16</v>
      </c>
      <c r="F59" s="3" t="s">
        <v>55</v>
      </c>
      <c r="G59">
        <v>1</v>
      </c>
      <c r="H59">
        <v>597</v>
      </c>
      <c r="I59" s="1">
        <v>1</v>
      </c>
    </row>
    <row r="60" spans="1:9" x14ac:dyDescent="0.3">
      <c r="A60">
        <v>8</v>
      </c>
      <c r="B60" s="1" t="s">
        <v>36</v>
      </c>
      <c r="C60" s="1" t="s">
        <v>54</v>
      </c>
      <c r="D60" s="3" t="s">
        <v>18</v>
      </c>
      <c r="E60" s="3" t="s">
        <v>19</v>
      </c>
      <c r="F60" s="3" t="s">
        <v>62</v>
      </c>
      <c r="G60">
        <v>0</v>
      </c>
      <c r="H60">
        <v>685</v>
      </c>
      <c r="I60" s="1">
        <v>1</v>
      </c>
    </row>
    <row r="61" spans="1:9" x14ac:dyDescent="0.3">
      <c r="A61">
        <v>8</v>
      </c>
      <c r="B61" s="1" t="s">
        <v>36</v>
      </c>
      <c r="C61" s="1" t="s">
        <v>54</v>
      </c>
      <c r="D61" s="3" t="s">
        <v>21</v>
      </c>
      <c r="E61" s="3" t="s">
        <v>22</v>
      </c>
      <c r="F61" s="3" t="s">
        <v>63</v>
      </c>
      <c r="G61">
        <v>0</v>
      </c>
      <c r="H61">
        <v>607</v>
      </c>
      <c r="I61" s="1">
        <v>0</v>
      </c>
    </row>
    <row r="62" spans="1:9" x14ac:dyDescent="0.3">
      <c r="A62">
        <v>8</v>
      </c>
      <c r="B62" s="1" t="s">
        <v>36</v>
      </c>
      <c r="C62" s="1" t="s">
        <v>54</v>
      </c>
      <c r="D62" s="3" t="s">
        <v>24</v>
      </c>
      <c r="E62" s="3" t="s">
        <v>25</v>
      </c>
      <c r="F62" s="3" t="s">
        <v>64</v>
      </c>
      <c r="G62">
        <v>0</v>
      </c>
      <c r="H62">
        <v>429</v>
      </c>
      <c r="I62" s="1">
        <v>1</v>
      </c>
    </row>
    <row r="63" spans="1:9" x14ac:dyDescent="0.3">
      <c r="A63">
        <v>8</v>
      </c>
      <c r="B63" s="1" t="s">
        <v>36</v>
      </c>
      <c r="C63" s="1" t="s">
        <v>54</v>
      </c>
      <c r="D63" s="3" t="s">
        <v>27</v>
      </c>
      <c r="E63" s="3" t="s">
        <v>28</v>
      </c>
      <c r="F63" s="3" t="s">
        <v>65</v>
      </c>
      <c r="G63">
        <v>0</v>
      </c>
      <c r="H63">
        <v>1319</v>
      </c>
      <c r="I63" s="1">
        <v>1</v>
      </c>
    </row>
    <row r="64" spans="1:9" x14ac:dyDescent="0.3">
      <c r="A64">
        <v>8</v>
      </c>
      <c r="B64" s="1" t="s">
        <v>36</v>
      </c>
      <c r="C64" s="1" t="s">
        <v>54</v>
      </c>
      <c r="D64" s="3" t="s">
        <v>30</v>
      </c>
      <c r="E64" s="3" t="s">
        <v>31</v>
      </c>
      <c r="F64" s="3" t="s">
        <v>66</v>
      </c>
      <c r="G64">
        <v>0</v>
      </c>
      <c r="H64">
        <v>776</v>
      </c>
      <c r="I64" s="1">
        <v>1</v>
      </c>
    </row>
    <row r="65" spans="1:9" x14ac:dyDescent="0.3">
      <c r="A65">
        <v>8</v>
      </c>
      <c r="B65" s="1" t="s">
        <v>36</v>
      </c>
      <c r="C65" s="1" t="s">
        <v>54</v>
      </c>
      <c r="D65" s="3" t="s">
        <v>33</v>
      </c>
      <c r="E65" s="3" t="s">
        <v>34</v>
      </c>
      <c r="F65" s="3" t="s">
        <v>67</v>
      </c>
      <c r="G65">
        <v>0</v>
      </c>
      <c r="H65">
        <v>1073</v>
      </c>
      <c r="I65" s="1">
        <v>1</v>
      </c>
    </row>
    <row r="66" spans="1:9" x14ac:dyDescent="0.3">
      <c r="A66">
        <v>9</v>
      </c>
      <c r="B66" s="1" t="s">
        <v>45</v>
      </c>
      <c r="C66" s="1" t="s">
        <v>54</v>
      </c>
      <c r="D66" s="3" t="s">
        <v>11</v>
      </c>
      <c r="E66" s="3" t="s">
        <v>12</v>
      </c>
      <c r="F66" s="3" t="s">
        <v>55</v>
      </c>
      <c r="G66">
        <v>0</v>
      </c>
      <c r="H66">
        <v>778</v>
      </c>
      <c r="I66" s="1">
        <v>1</v>
      </c>
    </row>
    <row r="67" spans="1:9" x14ac:dyDescent="0.3">
      <c r="A67">
        <v>9</v>
      </c>
      <c r="B67" s="1" t="s">
        <v>45</v>
      </c>
      <c r="C67" s="1" t="s">
        <v>54</v>
      </c>
      <c r="D67" s="3" t="s">
        <v>15</v>
      </c>
      <c r="E67" s="3" t="s">
        <v>16</v>
      </c>
      <c r="F67" s="3" t="s">
        <v>55</v>
      </c>
      <c r="G67">
        <v>1</v>
      </c>
      <c r="H67">
        <v>516</v>
      </c>
      <c r="I67" s="1">
        <v>1</v>
      </c>
    </row>
    <row r="68" spans="1:9" x14ac:dyDescent="0.3">
      <c r="A68">
        <v>9</v>
      </c>
      <c r="B68" s="1" t="s">
        <v>45</v>
      </c>
      <c r="C68" s="1" t="s">
        <v>54</v>
      </c>
      <c r="D68" s="3" t="s">
        <v>18</v>
      </c>
      <c r="E68" s="3" t="s">
        <v>19</v>
      </c>
      <c r="F68" s="3" t="s">
        <v>62</v>
      </c>
      <c r="G68">
        <v>0</v>
      </c>
      <c r="H68">
        <v>731</v>
      </c>
      <c r="I68" s="1">
        <v>1</v>
      </c>
    </row>
    <row r="69" spans="1:9" x14ac:dyDescent="0.3">
      <c r="A69">
        <v>9</v>
      </c>
      <c r="B69" s="1" t="s">
        <v>45</v>
      </c>
      <c r="C69" s="1" t="s">
        <v>54</v>
      </c>
      <c r="D69" s="3" t="s">
        <v>21</v>
      </c>
      <c r="E69" s="3" t="s">
        <v>22</v>
      </c>
      <c r="F69" s="3" t="s">
        <v>63</v>
      </c>
      <c r="G69">
        <v>0</v>
      </c>
      <c r="H69">
        <v>596</v>
      </c>
      <c r="I69" s="1">
        <v>0</v>
      </c>
    </row>
    <row r="70" spans="1:9" x14ac:dyDescent="0.3">
      <c r="A70">
        <v>9</v>
      </c>
      <c r="B70" s="1" t="s">
        <v>45</v>
      </c>
      <c r="C70" s="1" t="s">
        <v>54</v>
      </c>
      <c r="D70" s="3" t="s">
        <v>24</v>
      </c>
      <c r="E70" s="3" t="s">
        <v>25</v>
      </c>
      <c r="F70" s="3" t="s">
        <v>64</v>
      </c>
      <c r="G70">
        <v>0</v>
      </c>
      <c r="H70">
        <v>506</v>
      </c>
      <c r="I70" s="1">
        <v>1</v>
      </c>
    </row>
    <row r="71" spans="1:9" x14ac:dyDescent="0.3">
      <c r="A71">
        <v>9</v>
      </c>
      <c r="B71" s="1" t="s">
        <v>45</v>
      </c>
      <c r="C71" s="1" t="s">
        <v>54</v>
      </c>
      <c r="D71" s="3" t="s">
        <v>27</v>
      </c>
      <c r="E71" s="3" t="s">
        <v>28</v>
      </c>
      <c r="F71" s="3" t="s">
        <v>65</v>
      </c>
      <c r="G71">
        <v>0</v>
      </c>
      <c r="H71">
        <v>1568</v>
      </c>
      <c r="I71" s="1">
        <v>1</v>
      </c>
    </row>
    <row r="72" spans="1:9" x14ac:dyDescent="0.3">
      <c r="A72">
        <v>9</v>
      </c>
      <c r="B72" s="1" t="s">
        <v>45</v>
      </c>
      <c r="C72" s="1" t="s">
        <v>54</v>
      </c>
      <c r="D72" s="3" t="s">
        <v>30</v>
      </c>
      <c r="E72" s="3" t="s">
        <v>31</v>
      </c>
      <c r="F72" s="3" t="s">
        <v>66</v>
      </c>
      <c r="G72">
        <v>0</v>
      </c>
      <c r="H72">
        <v>959</v>
      </c>
      <c r="I72" s="1">
        <v>1</v>
      </c>
    </row>
    <row r="73" spans="1:9" x14ac:dyDescent="0.3">
      <c r="A73">
        <v>9</v>
      </c>
      <c r="B73" s="1" t="s">
        <v>45</v>
      </c>
      <c r="C73" s="1" t="s">
        <v>54</v>
      </c>
      <c r="D73" s="3" t="s">
        <v>33</v>
      </c>
      <c r="E73" s="3" t="s">
        <v>34</v>
      </c>
      <c r="F73" s="3" t="s">
        <v>67</v>
      </c>
      <c r="G73">
        <v>0</v>
      </c>
      <c r="H73">
        <v>91</v>
      </c>
      <c r="I73" s="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FE41-1841-4AC0-935A-641520EC39B5}">
  <dimension ref="B2:F12"/>
  <sheetViews>
    <sheetView workbookViewId="0">
      <selection activeCell="K14" sqref="K14"/>
    </sheetView>
  </sheetViews>
  <sheetFormatPr baseColWidth="10" defaultRowHeight="14.4" x14ac:dyDescent="0.3"/>
  <cols>
    <col min="3" max="3" width="22.6640625" customWidth="1"/>
    <col min="5" max="5" width="19.33203125" customWidth="1"/>
    <col min="6" max="6" width="14.5546875" customWidth="1"/>
  </cols>
  <sheetData>
    <row r="2" spans="2:6" x14ac:dyDescent="0.3">
      <c r="B2" s="5"/>
      <c r="C2" s="5"/>
      <c r="D2" s="5"/>
    </row>
    <row r="3" spans="2:6" x14ac:dyDescent="0.3">
      <c r="B3" s="4" t="s">
        <v>0</v>
      </c>
      <c r="C3" s="6" t="s">
        <v>1</v>
      </c>
      <c r="D3" s="6" t="s">
        <v>2</v>
      </c>
      <c r="E3" s="7" t="s">
        <v>68</v>
      </c>
      <c r="F3" s="7" t="s">
        <v>69</v>
      </c>
    </row>
    <row r="4" spans="2:6" x14ac:dyDescent="0.3">
      <c r="B4" s="5">
        <v>1</v>
      </c>
      <c r="C4" s="5" t="s">
        <v>9</v>
      </c>
      <c r="D4" s="5" t="s">
        <v>10</v>
      </c>
      <c r="E4" s="5">
        <f>SUMIF(scenarios_review!A:A,Hoja1!B4,scenarios_review!I:I)</f>
        <v>3</v>
      </c>
      <c r="F4" s="8">
        <f>E4/8</f>
        <v>0.375</v>
      </c>
    </row>
    <row r="5" spans="2:6" x14ac:dyDescent="0.3">
      <c r="B5" s="5">
        <v>2</v>
      </c>
      <c r="C5" s="5" t="s">
        <v>36</v>
      </c>
      <c r="D5" s="5" t="s">
        <v>10</v>
      </c>
      <c r="E5" s="5">
        <f>SUMIF(scenarios_review!A:A,Hoja1!B5,scenarios_review!I:I)</f>
        <v>2</v>
      </c>
      <c r="F5" s="8">
        <f t="shared" ref="F5:F12" si="0">E5/8</f>
        <v>0.25</v>
      </c>
    </row>
    <row r="6" spans="2:6" x14ac:dyDescent="0.3">
      <c r="B6" s="5">
        <v>3</v>
      </c>
      <c r="C6" s="5" t="s">
        <v>45</v>
      </c>
      <c r="D6" s="5" t="s">
        <v>10</v>
      </c>
      <c r="E6" s="5">
        <f>SUMIF(scenarios_review!A:A,Hoja1!B6,scenarios_review!I:I)</f>
        <v>2</v>
      </c>
      <c r="F6" s="8">
        <f t="shared" si="0"/>
        <v>0.25</v>
      </c>
    </row>
    <row r="7" spans="2:6" x14ac:dyDescent="0.3">
      <c r="B7" s="5">
        <v>4</v>
      </c>
      <c r="C7" s="5" t="s">
        <v>9</v>
      </c>
      <c r="D7" s="5" t="s">
        <v>46</v>
      </c>
      <c r="E7" s="5">
        <f>SUMIF(scenarios_review!A:A,Hoja1!B7,scenarios_review!I:I)</f>
        <v>4</v>
      </c>
      <c r="F7" s="8">
        <f t="shared" si="0"/>
        <v>0.5</v>
      </c>
    </row>
    <row r="8" spans="2:6" x14ac:dyDescent="0.3">
      <c r="B8" s="5">
        <v>5</v>
      </c>
      <c r="C8" s="5" t="s">
        <v>36</v>
      </c>
      <c r="D8" s="5" t="s">
        <v>46</v>
      </c>
      <c r="E8" s="5">
        <f>SUMIF(scenarios_review!A:A,Hoja1!B8,scenarios_review!I:I)</f>
        <v>4</v>
      </c>
      <c r="F8" s="8">
        <f t="shared" si="0"/>
        <v>0.5</v>
      </c>
    </row>
    <row r="9" spans="2:6" x14ac:dyDescent="0.3">
      <c r="B9" s="5">
        <v>6</v>
      </c>
      <c r="C9" s="5" t="s">
        <v>45</v>
      </c>
      <c r="D9" s="5" t="s">
        <v>46</v>
      </c>
      <c r="E9" s="5">
        <f>SUMIF(scenarios_review!A:A,Hoja1!B9,scenarios_review!I:I)</f>
        <v>4</v>
      </c>
      <c r="F9" s="8">
        <f t="shared" si="0"/>
        <v>0.5</v>
      </c>
    </row>
    <row r="10" spans="2:6" x14ac:dyDescent="0.3">
      <c r="B10" s="5">
        <v>7</v>
      </c>
      <c r="C10" s="5" t="s">
        <v>9</v>
      </c>
      <c r="D10" s="5" t="s">
        <v>54</v>
      </c>
      <c r="E10" s="5">
        <f>SUMIF(scenarios_review!A:A,Hoja1!B10,scenarios_review!I:I)</f>
        <v>7</v>
      </c>
      <c r="F10" s="8">
        <f t="shared" si="0"/>
        <v>0.875</v>
      </c>
    </row>
    <row r="11" spans="2:6" x14ac:dyDescent="0.3">
      <c r="B11" s="5">
        <v>8</v>
      </c>
      <c r="C11" s="5" t="s">
        <v>36</v>
      </c>
      <c r="D11" s="5" t="s">
        <v>54</v>
      </c>
      <c r="E11" s="5">
        <f>SUMIF(scenarios_review!A:A,Hoja1!B11,scenarios_review!I:I)</f>
        <v>7</v>
      </c>
      <c r="F11" s="8">
        <f t="shared" si="0"/>
        <v>0.875</v>
      </c>
    </row>
    <row r="12" spans="2:6" x14ac:dyDescent="0.3">
      <c r="B12" s="5">
        <v>9</v>
      </c>
      <c r="C12" s="5" t="s">
        <v>45</v>
      </c>
      <c r="D12" s="5" t="s">
        <v>54</v>
      </c>
      <c r="E12" s="5">
        <f>SUMIF(scenarios_review!A:A,Hoja1!B12,scenarios_review!I:I)</f>
        <v>7</v>
      </c>
      <c r="F12" s="8">
        <f t="shared" si="0"/>
        <v>0.875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EEA992-EDA1-4436-85D3-27F8327F80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scenarios_review</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Jose Briones Rodríguez</dc:creator>
  <cp:lastModifiedBy>María Jose Briones Rodríguez</cp:lastModifiedBy>
  <dcterms:created xsi:type="dcterms:W3CDTF">2026-06-13T19:16:17Z</dcterms:created>
  <dcterms:modified xsi:type="dcterms:W3CDTF">2026-06-13T19:16:18Z</dcterms:modified>
</cp:coreProperties>
</file>